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v2\Documents\Personal\Columbia University\Final Project\"/>
    </mc:Choice>
  </mc:AlternateContent>
  <bookViews>
    <workbookView xWindow="0" yWindow="0" windowWidth="9945" windowHeight="128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80" i="1" l="1"/>
  <c r="N80" i="1"/>
  <c r="O78" i="1"/>
  <c r="N78" i="1"/>
  <c r="O77" i="1"/>
  <c r="N77" i="1"/>
  <c r="O76" i="1"/>
  <c r="N76" i="1"/>
  <c r="O75" i="1"/>
  <c r="N75" i="1"/>
  <c r="O74" i="1"/>
  <c r="N74" i="1"/>
  <c r="O73" i="1"/>
  <c r="N73" i="1"/>
  <c r="O71" i="1"/>
  <c r="N71" i="1"/>
  <c r="O70" i="1"/>
  <c r="N70" i="1"/>
  <c r="O69" i="1"/>
  <c r="N69" i="1"/>
  <c r="O68" i="1"/>
  <c r="N68" i="1"/>
  <c r="O67" i="1"/>
  <c r="N67" i="1"/>
  <c r="O66" i="1"/>
  <c r="N66" i="1"/>
  <c r="O64" i="1"/>
  <c r="N64" i="1"/>
  <c r="O63" i="1"/>
  <c r="N63" i="1"/>
  <c r="O62" i="1"/>
  <c r="N62" i="1"/>
  <c r="O61" i="1"/>
  <c r="N61" i="1"/>
  <c r="O60" i="1"/>
  <c r="N60" i="1"/>
  <c r="O59" i="1"/>
  <c r="N59" i="1"/>
  <c r="O57" i="1"/>
  <c r="N57" i="1"/>
  <c r="O56" i="1"/>
  <c r="N56" i="1"/>
  <c r="O55" i="1"/>
  <c r="N55" i="1"/>
  <c r="O54" i="1"/>
  <c r="N54" i="1"/>
  <c r="O53" i="1"/>
  <c r="N53" i="1"/>
  <c r="O52" i="1"/>
  <c r="N52" i="1"/>
  <c r="O50" i="1"/>
  <c r="N50" i="1"/>
  <c r="O49" i="1"/>
  <c r="N49" i="1"/>
  <c r="O48" i="1"/>
  <c r="N48" i="1"/>
  <c r="O47" i="1"/>
  <c r="N47" i="1"/>
  <c r="O46" i="1"/>
  <c r="N46" i="1"/>
  <c r="O45" i="1"/>
  <c r="N45" i="1"/>
  <c r="O43" i="1"/>
  <c r="N43" i="1"/>
  <c r="O42" i="1"/>
  <c r="N42" i="1"/>
  <c r="O41" i="1"/>
  <c r="N41" i="1"/>
  <c r="O40" i="1"/>
  <c r="N40" i="1"/>
  <c r="O39" i="1"/>
  <c r="N39" i="1"/>
  <c r="O38" i="1"/>
  <c r="N38" i="1"/>
  <c r="O36" i="1"/>
  <c r="N36" i="1"/>
  <c r="O35" i="1"/>
  <c r="N35" i="1"/>
  <c r="O34" i="1"/>
  <c r="N34" i="1"/>
  <c r="O33" i="1"/>
  <c r="N33" i="1"/>
  <c r="O32" i="1"/>
  <c r="N32" i="1"/>
  <c r="O31" i="1"/>
  <c r="N31" i="1"/>
  <c r="O29" i="1"/>
  <c r="N29" i="1"/>
  <c r="O28" i="1"/>
  <c r="N28" i="1"/>
  <c r="O27" i="1"/>
  <c r="N27" i="1"/>
  <c r="O26" i="1"/>
  <c r="N26" i="1"/>
  <c r="O25" i="1"/>
  <c r="N25" i="1"/>
  <c r="O24" i="1"/>
  <c r="N24" i="1"/>
  <c r="O22" i="1"/>
  <c r="N22" i="1"/>
  <c r="O21" i="1"/>
  <c r="N21" i="1"/>
  <c r="O20" i="1"/>
  <c r="N20" i="1"/>
  <c r="O19" i="1"/>
  <c r="N19" i="1"/>
  <c r="O18" i="1"/>
  <c r="N18" i="1"/>
  <c r="O17" i="1"/>
  <c r="N17" i="1"/>
  <c r="O15" i="1"/>
  <c r="N15" i="1"/>
  <c r="O14" i="1"/>
  <c r="N14" i="1"/>
  <c r="O13" i="1"/>
  <c r="N13" i="1"/>
  <c r="O12" i="1"/>
  <c r="N12" i="1"/>
  <c r="O11" i="1"/>
  <c r="N11" i="1"/>
  <c r="O10" i="1"/>
  <c r="N10" i="1"/>
  <c r="O8" i="1"/>
  <c r="N8" i="1"/>
  <c r="O7" i="1"/>
  <c r="N7" i="1"/>
  <c r="O6" i="1"/>
  <c r="N6" i="1"/>
  <c r="O5" i="1"/>
  <c r="N5" i="1"/>
  <c r="O4" i="1"/>
  <c r="N4" i="1"/>
  <c r="O3" i="1"/>
  <c r="N3" i="1"/>
</calcChain>
</file>

<file path=xl/sharedStrings.xml><?xml version="1.0" encoding="utf-8"?>
<sst xmlns="http://schemas.openxmlformats.org/spreadsheetml/2006/main" count="243" uniqueCount="13">
  <si>
    <t>calculating</t>
  </si>
  <si>
    <t>for</t>
  </si>
  <si>
    <t>Length</t>
  </si>
  <si>
    <t>=</t>
  </si>
  <si>
    <t>0.01:</t>
  </si>
  <si>
    <t>in/out:</t>
  </si>
  <si>
    <t>/</t>
  </si>
  <si>
    <t>0.012:</t>
  </si>
  <si>
    <t>0.014:</t>
  </si>
  <si>
    <t>0.016:</t>
  </si>
  <si>
    <t>0.018:</t>
  </si>
  <si>
    <t>0.02:</t>
  </si>
  <si>
    <t>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</si>
</sst>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80"/>
  <sheetViews>
    <sheetView tabSelected="1" workbookViewId="0">
      <selection activeCell="N3" sqref="N3"/>
    </sheetView>
  </sheetViews>
  <sheetFormatPr defaultRowHeight="15" x14ac:dyDescent="0.25"/>
  <sheetData>
    <row r="2" spans="2:15" x14ac:dyDescent="0.25">
      <c r="B2" t="s">
        <v>0</v>
      </c>
      <c r="C2" t="s">
        <v>1</v>
      </c>
      <c r="D2" t="s">
        <v>2</v>
      </c>
      <c r="E2" t="s">
        <v>3</v>
      </c>
      <c r="F2">
        <v>10000</v>
      </c>
    </row>
    <row r="3" spans="2:15" x14ac:dyDescent="0.25">
      <c r="B3" t="s">
        <v>4</v>
      </c>
      <c r="C3" t="s">
        <v>5</v>
      </c>
      <c r="D3">
        <v>44606.7</v>
      </c>
      <c r="E3">
        <v>-11126.6</v>
      </c>
      <c r="F3">
        <v>46.286144</v>
      </c>
      <c r="G3">
        <v>247</v>
      </c>
      <c r="H3" t="s">
        <v>6</v>
      </c>
      <c r="I3">
        <v>87861.1</v>
      </c>
      <c r="J3">
        <v>-5262.9</v>
      </c>
      <c r="K3">
        <v>50.901213499999997</v>
      </c>
      <c r="L3">
        <v>270</v>
      </c>
      <c r="N3" s="1">
        <f>-D3/E3</f>
        <v>4.0090144338791722</v>
      </c>
      <c r="O3" s="1">
        <f>D3/F3</f>
        <v>963.71605290775562</v>
      </c>
    </row>
    <row r="4" spans="2:15" x14ac:dyDescent="0.25">
      <c r="B4" t="s">
        <v>7</v>
      </c>
      <c r="C4" t="s">
        <v>5</v>
      </c>
      <c r="D4">
        <v>40832.160000000003</v>
      </c>
      <c r="E4">
        <v>-15617.56</v>
      </c>
      <c r="F4">
        <v>49.8057564</v>
      </c>
      <c r="G4">
        <v>210</v>
      </c>
      <c r="H4" t="s">
        <v>6</v>
      </c>
      <c r="I4">
        <v>87388.6</v>
      </c>
      <c r="J4">
        <v>-4792.08</v>
      </c>
      <c r="K4">
        <v>53.117569799999998</v>
      </c>
      <c r="L4">
        <v>229</v>
      </c>
      <c r="N4" s="1">
        <f t="shared" ref="N4:N8" si="0">-D4/E4</f>
        <v>2.6145031618255352</v>
      </c>
      <c r="O4" s="1">
        <f t="shared" ref="O4:O8" si="1">D4/F4</f>
        <v>819.82812733670289</v>
      </c>
    </row>
    <row r="5" spans="2:15" x14ac:dyDescent="0.25">
      <c r="B5" t="s">
        <v>8</v>
      </c>
      <c r="C5" t="s">
        <v>5</v>
      </c>
      <c r="D5">
        <v>37645.22</v>
      </c>
      <c r="E5">
        <v>-11642.74</v>
      </c>
      <c r="F5">
        <v>52.862197899999998</v>
      </c>
      <c r="G5">
        <v>186</v>
      </c>
      <c r="H5" t="s">
        <v>6</v>
      </c>
      <c r="I5">
        <v>82952.34</v>
      </c>
      <c r="J5">
        <v>-5849.88</v>
      </c>
      <c r="K5">
        <v>54.991743800000002</v>
      </c>
      <c r="L5">
        <v>201</v>
      </c>
      <c r="N5" s="1">
        <f t="shared" si="0"/>
        <v>3.2333643111501247</v>
      </c>
      <c r="O5" s="1">
        <f t="shared" si="1"/>
        <v>712.13875880102216</v>
      </c>
    </row>
    <row r="6" spans="2:15" x14ac:dyDescent="0.25">
      <c r="B6" t="s">
        <v>9</v>
      </c>
      <c r="C6" t="s">
        <v>5</v>
      </c>
      <c r="D6">
        <v>35792</v>
      </c>
      <c r="E6">
        <v>-10810.56</v>
      </c>
      <c r="F6">
        <v>56.314035699999998</v>
      </c>
      <c r="G6">
        <v>167</v>
      </c>
      <c r="H6" t="s">
        <v>6</v>
      </c>
      <c r="I6">
        <v>78720.56</v>
      </c>
      <c r="J6">
        <v>-6697.12</v>
      </c>
      <c r="K6">
        <v>57.026249</v>
      </c>
      <c r="L6">
        <v>181</v>
      </c>
      <c r="N6" s="1">
        <f t="shared" si="0"/>
        <v>3.310836811414025</v>
      </c>
      <c r="O6" s="1">
        <f t="shared" si="1"/>
        <v>635.57867155310271</v>
      </c>
    </row>
    <row r="7" spans="2:15" x14ac:dyDescent="0.25">
      <c r="B7" t="s">
        <v>10</v>
      </c>
      <c r="C7" t="s">
        <v>5</v>
      </c>
      <c r="D7">
        <v>33787.480000000003</v>
      </c>
      <c r="E7">
        <v>-13391.24</v>
      </c>
      <c r="F7">
        <v>59.276304199999998</v>
      </c>
      <c r="G7">
        <v>150</v>
      </c>
      <c r="H7" t="s">
        <v>6</v>
      </c>
      <c r="I7">
        <v>86250.8</v>
      </c>
      <c r="J7">
        <v>-7919.76</v>
      </c>
      <c r="K7">
        <v>59.154586100000003</v>
      </c>
      <c r="L7">
        <v>157</v>
      </c>
      <c r="N7" s="1">
        <f t="shared" si="0"/>
        <v>2.5231031629632508</v>
      </c>
      <c r="O7" s="1">
        <f t="shared" si="1"/>
        <v>569.99977404124331</v>
      </c>
    </row>
    <row r="8" spans="2:15" x14ac:dyDescent="0.25">
      <c r="B8" t="s">
        <v>11</v>
      </c>
      <c r="C8" t="s">
        <v>5</v>
      </c>
      <c r="D8">
        <v>36135.199999999997</v>
      </c>
      <c r="E8">
        <v>-11120.2</v>
      </c>
      <c r="F8">
        <v>62.663169199999999</v>
      </c>
      <c r="G8">
        <v>135</v>
      </c>
      <c r="H8" t="s">
        <v>6</v>
      </c>
      <c r="I8">
        <v>93986.2</v>
      </c>
      <c r="J8">
        <v>-6656</v>
      </c>
      <c r="K8">
        <v>62.413867799999998</v>
      </c>
      <c r="L8">
        <v>139</v>
      </c>
      <c r="N8" s="1">
        <f t="shared" si="0"/>
        <v>3.2495099009010624</v>
      </c>
      <c r="O8" s="1">
        <f t="shared" si="1"/>
        <v>576.6577155500778</v>
      </c>
    </row>
    <row r="9" spans="2:15" x14ac:dyDescent="0.25">
      <c r="B9" t="s">
        <v>0</v>
      </c>
      <c r="C9" t="s">
        <v>1</v>
      </c>
      <c r="D9" t="s">
        <v>2</v>
      </c>
      <c r="E9" t="s">
        <v>3</v>
      </c>
      <c r="F9">
        <v>10100</v>
      </c>
    </row>
    <row r="10" spans="2:15" x14ac:dyDescent="0.25">
      <c r="B10" t="s">
        <v>4</v>
      </c>
      <c r="C10" t="s">
        <v>5</v>
      </c>
      <c r="D10">
        <v>42395</v>
      </c>
      <c r="E10">
        <v>-11126.6</v>
      </c>
      <c r="F10">
        <v>45.990038800000001</v>
      </c>
      <c r="G10">
        <v>245</v>
      </c>
      <c r="H10" t="s">
        <v>6</v>
      </c>
      <c r="I10">
        <v>87680.9</v>
      </c>
      <c r="J10">
        <v>-5262.9</v>
      </c>
      <c r="K10">
        <v>50.873430800000001</v>
      </c>
      <c r="L10">
        <v>269</v>
      </c>
      <c r="N10" s="1">
        <f>-D10/E10</f>
        <v>3.8102385274926749</v>
      </c>
      <c r="O10" s="1">
        <f>D10/F10</f>
        <v>921.83005507705718</v>
      </c>
    </row>
    <row r="11" spans="2:15" x14ac:dyDescent="0.25">
      <c r="B11" t="s">
        <v>7</v>
      </c>
      <c r="C11" t="s">
        <v>5</v>
      </c>
      <c r="D11">
        <v>39010.92</v>
      </c>
      <c r="E11">
        <v>-15617.56</v>
      </c>
      <c r="F11">
        <v>49.482860100000003</v>
      </c>
      <c r="G11">
        <v>208</v>
      </c>
      <c r="H11" t="s">
        <v>6</v>
      </c>
      <c r="I11">
        <v>87314.76</v>
      </c>
      <c r="J11">
        <v>-4792.08</v>
      </c>
      <c r="K11">
        <v>53.0836015</v>
      </c>
      <c r="L11">
        <v>228</v>
      </c>
      <c r="N11" s="1">
        <f t="shared" ref="N11:N15" si="2">-D11/E11</f>
        <v>2.4978882744807769</v>
      </c>
      <c r="O11" s="1">
        <f t="shared" ref="O11:O15" si="3">D11/F11</f>
        <v>788.3723762361908</v>
      </c>
    </row>
    <row r="12" spans="2:15" x14ac:dyDescent="0.25">
      <c r="B12" t="s">
        <v>8</v>
      </c>
      <c r="C12" t="s">
        <v>5</v>
      </c>
      <c r="D12">
        <v>34877.32</v>
      </c>
      <c r="E12">
        <v>-11642.74</v>
      </c>
      <c r="F12">
        <v>52.527218499999996</v>
      </c>
      <c r="G12">
        <v>185</v>
      </c>
      <c r="H12" t="s">
        <v>6</v>
      </c>
      <c r="I12">
        <v>82984.86</v>
      </c>
      <c r="J12">
        <v>-5849.88</v>
      </c>
      <c r="K12">
        <v>54.950439600000003</v>
      </c>
      <c r="L12">
        <v>200</v>
      </c>
      <c r="N12" s="1">
        <f t="shared" si="2"/>
        <v>2.9956281768724544</v>
      </c>
      <c r="O12" s="1">
        <f t="shared" si="3"/>
        <v>663.98566297585319</v>
      </c>
    </row>
    <row r="13" spans="2:15" x14ac:dyDescent="0.25">
      <c r="B13" t="s">
        <v>9</v>
      </c>
      <c r="C13" t="s">
        <v>5</v>
      </c>
      <c r="D13">
        <v>33230.400000000001</v>
      </c>
      <c r="E13">
        <v>-10810.56</v>
      </c>
      <c r="F13">
        <v>55.997367500000003</v>
      </c>
      <c r="G13">
        <v>166</v>
      </c>
      <c r="H13" t="s">
        <v>6</v>
      </c>
      <c r="I13">
        <v>78859.44</v>
      </c>
      <c r="J13">
        <v>-6697.12</v>
      </c>
      <c r="K13">
        <v>56.976879199999999</v>
      </c>
      <c r="L13">
        <v>180</v>
      </c>
      <c r="N13" s="1">
        <f t="shared" si="2"/>
        <v>3.0738833140928872</v>
      </c>
      <c r="O13" s="1">
        <f t="shared" si="3"/>
        <v>593.42789640959461</v>
      </c>
    </row>
    <row r="14" spans="2:15" x14ac:dyDescent="0.25">
      <c r="B14" t="s">
        <v>10</v>
      </c>
      <c r="C14" t="s">
        <v>5</v>
      </c>
      <c r="D14">
        <v>31432.18</v>
      </c>
      <c r="E14">
        <v>-13971.24</v>
      </c>
      <c r="F14">
        <v>58.967737499999998</v>
      </c>
      <c r="G14">
        <v>149</v>
      </c>
      <c r="H14" t="s">
        <v>6</v>
      </c>
      <c r="I14">
        <v>86496.04</v>
      </c>
      <c r="J14">
        <v>-7919.76</v>
      </c>
      <c r="K14">
        <v>59.104246099999997</v>
      </c>
      <c r="L14">
        <v>156</v>
      </c>
      <c r="N14" s="1">
        <f t="shared" si="2"/>
        <v>2.2497773998585666</v>
      </c>
      <c r="O14" s="1">
        <f t="shared" si="3"/>
        <v>533.04029173579875</v>
      </c>
    </row>
    <row r="15" spans="2:15" x14ac:dyDescent="0.25">
      <c r="B15" t="s">
        <v>11</v>
      </c>
      <c r="C15" t="s">
        <v>5</v>
      </c>
      <c r="D15">
        <v>33986.199999999997</v>
      </c>
      <c r="E15">
        <v>-11700.2</v>
      </c>
      <c r="F15">
        <v>62.333703</v>
      </c>
      <c r="G15">
        <v>134</v>
      </c>
      <c r="H15" t="s">
        <v>6</v>
      </c>
      <c r="I15">
        <v>94337.8</v>
      </c>
      <c r="J15">
        <v>-6656</v>
      </c>
      <c r="K15">
        <v>62.343471100000002</v>
      </c>
      <c r="L15">
        <v>138</v>
      </c>
      <c r="N15" s="1">
        <f t="shared" si="2"/>
        <v>2.9047537648929076</v>
      </c>
      <c r="O15" s="1">
        <f t="shared" si="3"/>
        <v>545.22992160436866</v>
      </c>
    </row>
    <row r="16" spans="2:15" x14ac:dyDescent="0.25">
      <c r="B16" t="s">
        <v>0</v>
      </c>
      <c r="C16" t="s">
        <v>1</v>
      </c>
      <c r="D16" t="s">
        <v>2</v>
      </c>
      <c r="E16" t="s">
        <v>3</v>
      </c>
      <c r="F16">
        <v>10200</v>
      </c>
    </row>
    <row r="17" spans="2:15" x14ac:dyDescent="0.25">
      <c r="B17" t="s">
        <v>4</v>
      </c>
      <c r="C17" t="s">
        <v>5</v>
      </c>
      <c r="D17">
        <v>39346.300000000003</v>
      </c>
      <c r="E17">
        <v>-11126.6</v>
      </c>
      <c r="F17">
        <v>45.0908084</v>
      </c>
      <c r="G17">
        <v>244</v>
      </c>
      <c r="H17" t="s">
        <v>6</v>
      </c>
      <c r="I17">
        <v>88281.1</v>
      </c>
      <c r="J17">
        <v>-5262.9</v>
      </c>
      <c r="K17">
        <v>50.861635200000002</v>
      </c>
      <c r="L17">
        <v>268</v>
      </c>
      <c r="N17" s="1">
        <f>-D17/E17</f>
        <v>3.5362374849459854</v>
      </c>
      <c r="O17" s="1">
        <f>D17/F17</f>
        <v>872.60134373638778</v>
      </c>
    </row>
    <row r="18" spans="2:15" x14ac:dyDescent="0.25">
      <c r="B18" t="s">
        <v>7</v>
      </c>
      <c r="C18" t="s">
        <v>5</v>
      </c>
      <c r="D18">
        <v>36118.879999999997</v>
      </c>
      <c r="E18">
        <v>-15617.56</v>
      </c>
      <c r="F18">
        <v>48.640039600000001</v>
      </c>
      <c r="G18">
        <v>207</v>
      </c>
      <c r="H18" t="s">
        <v>6</v>
      </c>
      <c r="I18">
        <v>88049.4</v>
      </c>
      <c r="J18">
        <v>-4792.08</v>
      </c>
      <c r="K18">
        <v>53.070058699999997</v>
      </c>
      <c r="L18">
        <v>227</v>
      </c>
      <c r="N18" s="1">
        <f t="shared" ref="N18:N22" si="4">-D18/E18</f>
        <v>2.3127095397744588</v>
      </c>
      <c r="O18" s="1">
        <f t="shared" ref="O18:O22" si="5">D18/F18</f>
        <v>742.57505333116535</v>
      </c>
    </row>
    <row r="19" spans="2:15" x14ac:dyDescent="0.25">
      <c r="B19" t="s">
        <v>8</v>
      </c>
      <c r="C19" t="s">
        <v>5</v>
      </c>
      <c r="D19">
        <v>30997.32</v>
      </c>
      <c r="E19">
        <v>-11642.74</v>
      </c>
      <c r="F19">
        <v>51.658979000000002</v>
      </c>
      <c r="G19">
        <v>185</v>
      </c>
      <c r="H19" t="s">
        <v>6</v>
      </c>
      <c r="I19">
        <v>83853.94</v>
      </c>
      <c r="J19">
        <v>-5849.88</v>
      </c>
      <c r="K19">
        <v>54.936098700000002</v>
      </c>
      <c r="L19">
        <v>199</v>
      </c>
      <c r="N19" s="1">
        <f t="shared" si="4"/>
        <v>2.6623732901361707</v>
      </c>
      <c r="O19" s="1">
        <f t="shared" si="5"/>
        <v>600.03741072776518</v>
      </c>
    </row>
    <row r="20" spans="2:15" x14ac:dyDescent="0.25">
      <c r="B20" t="s">
        <v>9</v>
      </c>
      <c r="C20" t="s">
        <v>5</v>
      </c>
      <c r="D20">
        <v>29350.400000000001</v>
      </c>
      <c r="E20">
        <v>-12860.32</v>
      </c>
      <c r="F20">
        <v>55.1837479</v>
      </c>
      <c r="G20">
        <v>166</v>
      </c>
      <c r="H20" t="s">
        <v>6</v>
      </c>
      <c r="I20">
        <v>79862.960000000006</v>
      </c>
      <c r="J20">
        <v>-6697.12</v>
      </c>
      <c r="K20">
        <v>56.961858200000002</v>
      </c>
      <c r="L20">
        <v>179</v>
      </c>
      <c r="N20" s="1">
        <f t="shared" si="4"/>
        <v>2.2822449208106796</v>
      </c>
      <c r="O20" s="1">
        <f t="shared" si="5"/>
        <v>531.86673825030289</v>
      </c>
    </row>
    <row r="21" spans="2:15" x14ac:dyDescent="0.25">
      <c r="B21" t="s">
        <v>10</v>
      </c>
      <c r="C21" t="s">
        <v>5</v>
      </c>
      <c r="D21">
        <v>27552.18</v>
      </c>
      <c r="E21">
        <v>-14101.24</v>
      </c>
      <c r="F21">
        <v>58.195655500000001</v>
      </c>
      <c r="G21">
        <v>149</v>
      </c>
      <c r="H21" t="s">
        <v>6</v>
      </c>
      <c r="I21">
        <v>87634</v>
      </c>
      <c r="J21">
        <v>-7919.76</v>
      </c>
      <c r="K21">
        <v>59.088685599999998</v>
      </c>
      <c r="L21">
        <v>155</v>
      </c>
      <c r="N21" s="1">
        <f t="shared" si="4"/>
        <v>1.9538834882606069</v>
      </c>
      <c r="O21" s="1">
        <f t="shared" si="5"/>
        <v>473.44049591468217</v>
      </c>
    </row>
    <row r="22" spans="2:15" x14ac:dyDescent="0.25">
      <c r="B22" t="s">
        <v>11</v>
      </c>
      <c r="C22" t="s">
        <v>5</v>
      </c>
      <c r="D22">
        <v>30106.2</v>
      </c>
      <c r="E22">
        <v>-11830.2</v>
      </c>
      <c r="F22">
        <v>61.603828200000002</v>
      </c>
      <c r="G22">
        <v>134</v>
      </c>
      <c r="H22" t="s">
        <v>6</v>
      </c>
      <c r="I22">
        <v>95610.2</v>
      </c>
      <c r="J22">
        <v>-6656</v>
      </c>
      <c r="K22">
        <v>62.289574700000003</v>
      </c>
      <c r="L22">
        <v>137</v>
      </c>
      <c r="N22" s="1">
        <f t="shared" si="4"/>
        <v>2.5448597656844347</v>
      </c>
      <c r="O22" s="1">
        <f t="shared" si="5"/>
        <v>488.70664177327865</v>
      </c>
    </row>
    <row r="23" spans="2:15" x14ac:dyDescent="0.25">
      <c r="B23" t="s">
        <v>0</v>
      </c>
      <c r="C23" t="s">
        <v>1</v>
      </c>
      <c r="D23" t="s">
        <v>2</v>
      </c>
      <c r="E23" t="s">
        <v>3</v>
      </c>
      <c r="F23">
        <v>10300</v>
      </c>
    </row>
    <row r="24" spans="2:15" x14ac:dyDescent="0.25">
      <c r="B24" t="s">
        <v>4</v>
      </c>
      <c r="C24" t="s">
        <v>5</v>
      </c>
      <c r="D24">
        <v>38706.300000000003</v>
      </c>
      <c r="E24">
        <v>-11126.6</v>
      </c>
      <c r="F24">
        <v>45.042878899999998</v>
      </c>
      <c r="G24">
        <v>244</v>
      </c>
      <c r="H24" t="s">
        <v>6</v>
      </c>
      <c r="I24">
        <v>86541.1</v>
      </c>
      <c r="J24">
        <v>-5262.9</v>
      </c>
      <c r="K24">
        <v>50.808308400000001</v>
      </c>
      <c r="L24">
        <v>268</v>
      </c>
      <c r="N24" s="1">
        <f>-D24/E24</f>
        <v>3.4787176675714058</v>
      </c>
      <c r="O24" s="1">
        <f>D24/F24</f>
        <v>859.32118339798228</v>
      </c>
    </row>
    <row r="25" spans="2:15" x14ac:dyDescent="0.25">
      <c r="B25" t="s">
        <v>7</v>
      </c>
      <c r="C25" t="s">
        <v>5</v>
      </c>
      <c r="D25">
        <v>35478.879999999997</v>
      </c>
      <c r="E25">
        <v>-15617.56</v>
      </c>
      <c r="F25">
        <v>48.595609099999997</v>
      </c>
      <c r="G25">
        <v>207</v>
      </c>
      <c r="H25" t="s">
        <v>6</v>
      </c>
      <c r="I25">
        <v>86309.4</v>
      </c>
      <c r="J25">
        <v>-4792.08</v>
      </c>
      <c r="K25">
        <v>53.018952800000001</v>
      </c>
      <c r="L25">
        <v>227</v>
      </c>
      <c r="N25" s="1">
        <f t="shared" ref="N25:N29" si="6">-D25/E25</f>
        <v>2.2717300269696419</v>
      </c>
      <c r="O25" s="1">
        <f t="shared" ref="O25:O29" si="7">D25/F25</f>
        <v>730.08406843901457</v>
      </c>
    </row>
    <row r="26" spans="2:15" x14ac:dyDescent="0.25">
      <c r="B26" t="s">
        <v>8</v>
      </c>
      <c r="C26" t="s">
        <v>5</v>
      </c>
      <c r="D26">
        <v>30357.32</v>
      </c>
      <c r="E26">
        <v>-11642.74</v>
      </c>
      <c r="F26">
        <v>51.6171443</v>
      </c>
      <c r="G26">
        <v>185</v>
      </c>
      <c r="H26" t="s">
        <v>6</v>
      </c>
      <c r="I26">
        <v>82113.94</v>
      </c>
      <c r="J26">
        <v>-5849.88</v>
      </c>
      <c r="K26">
        <v>54.886724200000003</v>
      </c>
      <c r="L26">
        <v>199</v>
      </c>
      <c r="N26" s="1">
        <f t="shared" si="6"/>
        <v>2.6074034119116289</v>
      </c>
      <c r="O26" s="1">
        <f t="shared" si="7"/>
        <v>588.12474831157988</v>
      </c>
    </row>
    <row r="27" spans="2:15" x14ac:dyDescent="0.25">
      <c r="B27" t="s">
        <v>9</v>
      </c>
      <c r="C27" t="s">
        <v>5</v>
      </c>
      <c r="D27">
        <v>28710.400000000001</v>
      </c>
      <c r="E27">
        <v>-12860.32</v>
      </c>
      <c r="F27">
        <v>55.144586500000003</v>
      </c>
      <c r="G27">
        <v>166</v>
      </c>
      <c r="H27" t="s">
        <v>6</v>
      </c>
      <c r="I27">
        <v>78122.960000000006</v>
      </c>
      <c r="J27">
        <v>-6697.12</v>
      </c>
      <c r="K27">
        <v>56.914235499999997</v>
      </c>
      <c r="L27">
        <v>179</v>
      </c>
      <c r="N27" s="1">
        <f t="shared" si="6"/>
        <v>2.2324794406360029</v>
      </c>
      <c r="O27" s="1">
        <f t="shared" si="7"/>
        <v>520.63859432512015</v>
      </c>
    </row>
    <row r="28" spans="2:15" x14ac:dyDescent="0.25">
      <c r="B28" t="s">
        <v>10</v>
      </c>
      <c r="C28" t="s">
        <v>5</v>
      </c>
      <c r="D28">
        <v>26912.18</v>
      </c>
      <c r="E28">
        <v>-14741.24</v>
      </c>
      <c r="F28">
        <v>58.158521399999998</v>
      </c>
      <c r="G28">
        <v>149</v>
      </c>
      <c r="H28" t="s">
        <v>6</v>
      </c>
      <c r="I28">
        <v>85894</v>
      </c>
      <c r="J28">
        <v>-7919.76</v>
      </c>
      <c r="K28">
        <v>59.042788999999999</v>
      </c>
      <c r="L28">
        <v>155</v>
      </c>
      <c r="N28" s="1">
        <f t="shared" si="6"/>
        <v>1.8256388200721243</v>
      </c>
      <c r="O28" s="1">
        <f t="shared" si="7"/>
        <v>462.73838041556542</v>
      </c>
    </row>
    <row r="29" spans="2:15" x14ac:dyDescent="0.25">
      <c r="B29" t="s">
        <v>11</v>
      </c>
      <c r="C29" t="s">
        <v>5</v>
      </c>
      <c r="D29">
        <v>29466.2</v>
      </c>
      <c r="E29">
        <v>-12470.2</v>
      </c>
      <c r="F29">
        <v>61.568750899999998</v>
      </c>
      <c r="G29">
        <v>134</v>
      </c>
      <c r="H29" t="s">
        <v>6</v>
      </c>
      <c r="I29">
        <v>93870.2</v>
      </c>
      <c r="J29">
        <v>-6656</v>
      </c>
      <c r="K29">
        <v>62.246048500000001</v>
      </c>
      <c r="L29">
        <v>137</v>
      </c>
      <c r="N29" s="1">
        <f t="shared" si="6"/>
        <v>2.3629292232682713</v>
      </c>
      <c r="O29" s="1">
        <f t="shared" si="7"/>
        <v>478.59018689300717</v>
      </c>
    </row>
    <row r="30" spans="2:15" x14ac:dyDescent="0.25">
      <c r="B30" t="s">
        <v>0</v>
      </c>
      <c r="C30" t="s">
        <v>1</v>
      </c>
      <c r="D30" t="s">
        <v>2</v>
      </c>
      <c r="E30" t="s">
        <v>3</v>
      </c>
      <c r="F30">
        <v>10400</v>
      </c>
    </row>
    <row r="31" spans="2:15" x14ac:dyDescent="0.25">
      <c r="B31" t="s">
        <v>4</v>
      </c>
      <c r="C31" t="s">
        <v>5</v>
      </c>
      <c r="D31">
        <v>38066.300000000003</v>
      </c>
      <c r="E31">
        <v>-11126.6</v>
      </c>
      <c r="F31">
        <v>44.998244200000002</v>
      </c>
      <c r="G31">
        <v>244</v>
      </c>
      <c r="H31" t="s">
        <v>6</v>
      </c>
      <c r="I31">
        <v>85685.5</v>
      </c>
      <c r="J31">
        <v>-5262.9</v>
      </c>
      <c r="K31">
        <v>50.745550199999997</v>
      </c>
      <c r="L31">
        <v>267</v>
      </c>
      <c r="N31" s="1">
        <f>-D31/E31</f>
        <v>3.4211978501968257</v>
      </c>
      <c r="O31" s="1">
        <f>D31/F31</f>
        <v>845.95078489751393</v>
      </c>
    </row>
    <row r="32" spans="2:15" x14ac:dyDescent="0.25">
      <c r="B32" t="s">
        <v>7</v>
      </c>
      <c r="C32" t="s">
        <v>5</v>
      </c>
      <c r="D32">
        <v>34838.879999999997</v>
      </c>
      <c r="E32">
        <v>-15617.56</v>
      </c>
      <c r="F32">
        <v>48.554238499999997</v>
      </c>
      <c r="G32">
        <v>207</v>
      </c>
      <c r="H32" t="s">
        <v>6</v>
      </c>
      <c r="I32">
        <v>85583.08</v>
      </c>
      <c r="J32">
        <v>-4792.08</v>
      </c>
      <c r="K32">
        <v>52.9476066</v>
      </c>
      <c r="L32">
        <v>226</v>
      </c>
      <c r="N32" s="1">
        <f t="shared" ref="N32:N36" si="8">-D32/E32</f>
        <v>2.2307505141648245</v>
      </c>
      <c r="O32" s="1">
        <f t="shared" ref="O32:O36" si="9">D32/F32</f>
        <v>717.52500041783173</v>
      </c>
    </row>
    <row r="33" spans="2:15" x14ac:dyDescent="0.25">
      <c r="B33" t="s">
        <v>8</v>
      </c>
      <c r="C33" t="s">
        <v>5</v>
      </c>
      <c r="D33">
        <v>29717.32</v>
      </c>
      <c r="E33">
        <v>-12213.74</v>
      </c>
      <c r="F33">
        <v>51.578194600000003</v>
      </c>
      <c r="G33">
        <v>185</v>
      </c>
      <c r="H33" t="s">
        <v>6</v>
      </c>
      <c r="I33">
        <v>81516.899999999994</v>
      </c>
      <c r="J33">
        <v>-5849.88</v>
      </c>
      <c r="K33">
        <v>54.804907300000004</v>
      </c>
      <c r="L33">
        <v>198</v>
      </c>
      <c r="N33" s="1">
        <f t="shared" si="8"/>
        <v>2.4331056662414623</v>
      </c>
      <c r="O33" s="1">
        <f t="shared" si="9"/>
        <v>576.16053121797324</v>
      </c>
    </row>
    <row r="34" spans="2:15" x14ac:dyDescent="0.25">
      <c r="B34" t="s">
        <v>9</v>
      </c>
      <c r="C34" t="s">
        <v>5</v>
      </c>
      <c r="D34">
        <v>28070.400000000001</v>
      </c>
      <c r="E34">
        <v>-12860.32</v>
      </c>
      <c r="F34">
        <v>55.1081292</v>
      </c>
      <c r="G34">
        <v>166</v>
      </c>
      <c r="H34" t="s">
        <v>6</v>
      </c>
      <c r="I34">
        <v>76572.960000000006</v>
      </c>
      <c r="J34">
        <v>-6697.12</v>
      </c>
      <c r="K34">
        <v>56.814057599999998</v>
      </c>
      <c r="L34">
        <v>179</v>
      </c>
      <c r="N34" s="1">
        <f t="shared" si="8"/>
        <v>2.1827139604613262</v>
      </c>
      <c r="O34" s="1">
        <f t="shared" si="9"/>
        <v>509.36949607064508</v>
      </c>
    </row>
    <row r="35" spans="2:15" x14ac:dyDescent="0.25">
      <c r="B35" t="s">
        <v>10</v>
      </c>
      <c r="C35" t="s">
        <v>5</v>
      </c>
      <c r="D35">
        <v>26272.18</v>
      </c>
      <c r="E35">
        <v>-15381.24</v>
      </c>
      <c r="F35">
        <v>58.123953700000001</v>
      </c>
      <c r="G35">
        <v>149</v>
      </c>
      <c r="H35" t="s">
        <v>6</v>
      </c>
      <c r="I35">
        <v>84344</v>
      </c>
      <c r="J35">
        <v>-7919.76</v>
      </c>
      <c r="K35">
        <v>58.946238100000002</v>
      </c>
      <c r="L35">
        <v>155</v>
      </c>
      <c r="N35" s="1">
        <f t="shared" si="8"/>
        <v>1.7080664497790816</v>
      </c>
      <c r="O35" s="1">
        <f t="shared" si="9"/>
        <v>452.00263105983447</v>
      </c>
    </row>
    <row r="36" spans="2:15" x14ac:dyDescent="0.25">
      <c r="B36" t="s">
        <v>11</v>
      </c>
      <c r="C36" t="s">
        <v>5</v>
      </c>
      <c r="D36">
        <v>28826.2</v>
      </c>
      <c r="E36">
        <v>-13110.2</v>
      </c>
      <c r="F36">
        <v>61.536099999999998</v>
      </c>
      <c r="G36">
        <v>134</v>
      </c>
      <c r="H36" t="s">
        <v>6</v>
      </c>
      <c r="I36">
        <v>92320.2</v>
      </c>
      <c r="J36">
        <v>-6656</v>
      </c>
      <c r="K36">
        <v>62.154482899999998</v>
      </c>
      <c r="L36">
        <v>137</v>
      </c>
      <c r="N36" s="1">
        <f t="shared" si="8"/>
        <v>2.1987612698509555</v>
      </c>
      <c r="O36" s="1">
        <f t="shared" si="9"/>
        <v>468.44372652800553</v>
      </c>
    </row>
    <row r="37" spans="2:15" x14ac:dyDescent="0.25">
      <c r="B37" t="s">
        <v>0</v>
      </c>
      <c r="C37" t="s">
        <v>1</v>
      </c>
      <c r="D37" t="s">
        <v>2</v>
      </c>
      <c r="E37" t="s">
        <v>3</v>
      </c>
      <c r="F37">
        <v>10500</v>
      </c>
    </row>
    <row r="38" spans="2:15" x14ac:dyDescent="0.25">
      <c r="B38" t="s">
        <v>4</v>
      </c>
      <c r="C38" t="s">
        <v>5</v>
      </c>
      <c r="D38">
        <v>37566.300000000003</v>
      </c>
      <c r="E38">
        <v>-11126.6</v>
      </c>
      <c r="F38">
        <v>44.992251099999997</v>
      </c>
      <c r="G38">
        <v>244</v>
      </c>
      <c r="H38" t="s">
        <v>6</v>
      </c>
      <c r="I38">
        <v>85525.5</v>
      </c>
      <c r="J38">
        <v>-5262.9</v>
      </c>
      <c r="K38">
        <v>50.736395199999997</v>
      </c>
      <c r="L38">
        <v>267</v>
      </c>
      <c r="N38" s="1">
        <f>-D38/E38</f>
        <v>3.3762604928729352</v>
      </c>
      <c r="O38" s="1">
        <f>D38/F38</f>
        <v>834.95044327755375</v>
      </c>
    </row>
    <row r="39" spans="2:15" x14ac:dyDescent="0.25">
      <c r="B39" t="s">
        <v>7</v>
      </c>
      <c r="C39" t="s">
        <v>5</v>
      </c>
      <c r="D39">
        <v>34338.879999999997</v>
      </c>
      <c r="E39">
        <v>-15617.56</v>
      </c>
      <c r="F39">
        <v>48.548682900000003</v>
      </c>
      <c r="G39">
        <v>207</v>
      </c>
      <c r="H39" t="s">
        <v>6</v>
      </c>
      <c r="I39">
        <v>85423.08</v>
      </c>
      <c r="J39">
        <v>-4792.08</v>
      </c>
      <c r="K39">
        <v>52.938832400000003</v>
      </c>
      <c r="L39">
        <v>226</v>
      </c>
      <c r="N39" s="1">
        <f t="shared" ref="N39:N43" si="10">-D39/E39</f>
        <v>2.1987352697860612</v>
      </c>
      <c r="O39" s="1">
        <f t="shared" ref="O39:O43" si="11">D39/F39</f>
        <v>707.30816880719112</v>
      </c>
    </row>
    <row r="40" spans="2:15" x14ac:dyDescent="0.25">
      <c r="B40" t="s">
        <v>8</v>
      </c>
      <c r="C40" t="s">
        <v>5</v>
      </c>
      <c r="D40">
        <v>29217.32</v>
      </c>
      <c r="E40">
        <v>-12713.74</v>
      </c>
      <c r="F40">
        <v>51.572962599999997</v>
      </c>
      <c r="G40">
        <v>185</v>
      </c>
      <c r="H40" t="s">
        <v>6</v>
      </c>
      <c r="I40">
        <v>81356.899999999994</v>
      </c>
      <c r="J40">
        <v>-5849.88</v>
      </c>
      <c r="K40">
        <v>54.7964299</v>
      </c>
      <c r="L40">
        <v>198</v>
      </c>
      <c r="N40" s="1">
        <f t="shared" si="10"/>
        <v>2.2980900977997032</v>
      </c>
      <c r="O40" s="1">
        <f t="shared" si="11"/>
        <v>566.52397936898819</v>
      </c>
    </row>
    <row r="41" spans="2:15" x14ac:dyDescent="0.25">
      <c r="B41" t="s">
        <v>9</v>
      </c>
      <c r="C41" t="s">
        <v>5</v>
      </c>
      <c r="D41">
        <v>27570.400000000001</v>
      </c>
      <c r="E41">
        <v>-12860.32</v>
      </c>
      <c r="F41">
        <v>55.103231700000002</v>
      </c>
      <c r="G41">
        <v>166</v>
      </c>
      <c r="H41" t="s">
        <v>6</v>
      </c>
      <c r="I41">
        <v>76412.960000000006</v>
      </c>
      <c r="J41">
        <v>-6697.12</v>
      </c>
      <c r="K41">
        <v>56.805879400000002</v>
      </c>
      <c r="L41">
        <v>179</v>
      </c>
      <c r="N41" s="1">
        <f t="shared" si="10"/>
        <v>2.1438346790748599</v>
      </c>
      <c r="O41" s="1">
        <f t="shared" si="11"/>
        <v>500.34089016960507</v>
      </c>
    </row>
    <row r="42" spans="2:15" x14ac:dyDescent="0.25">
      <c r="B42" t="s">
        <v>10</v>
      </c>
      <c r="C42" t="s">
        <v>5</v>
      </c>
      <c r="D42">
        <v>25772.18</v>
      </c>
      <c r="E42">
        <v>-15881.24</v>
      </c>
      <c r="F42">
        <v>58.119309600000001</v>
      </c>
      <c r="G42">
        <v>149</v>
      </c>
      <c r="H42" t="s">
        <v>6</v>
      </c>
      <c r="I42">
        <v>84184</v>
      </c>
      <c r="J42">
        <v>-7919.76</v>
      </c>
      <c r="K42">
        <v>58.9383567</v>
      </c>
      <c r="L42">
        <v>155</v>
      </c>
      <c r="N42" s="1">
        <f t="shared" si="10"/>
        <v>1.6228065314799096</v>
      </c>
      <c r="O42" s="1">
        <f t="shared" si="11"/>
        <v>443.43575616046201</v>
      </c>
    </row>
    <row r="43" spans="2:15" x14ac:dyDescent="0.25">
      <c r="B43" t="s">
        <v>11</v>
      </c>
      <c r="C43" t="s">
        <v>5</v>
      </c>
      <c r="D43">
        <v>28326.2</v>
      </c>
      <c r="E43">
        <v>-13610.2</v>
      </c>
      <c r="F43">
        <v>61.531714399999998</v>
      </c>
      <c r="G43">
        <v>134</v>
      </c>
      <c r="H43" t="s">
        <v>6</v>
      </c>
      <c r="I43">
        <v>92160.2</v>
      </c>
      <c r="J43">
        <v>-6656</v>
      </c>
      <c r="K43">
        <v>62.147009400000002</v>
      </c>
      <c r="L43">
        <v>137</v>
      </c>
      <c r="N43" s="1">
        <f t="shared" si="10"/>
        <v>2.0812478876137015</v>
      </c>
      <c r="O43" s="1">
        <f t="shared" si="11"/>
        <v>460.35122336848139</v>
      </c>
    </row>
    <row r="44" spans="2:15" x14ac:dyDescent="0.25">
      <c r="B44" t="s">
        <v>0</v>
      </c>
      <c r="C44" t="s">
        <v>1</v>
      </c>
      <c r="D44" t="s">
        <v>2</v>
      </c>
      <c r="E44" t="s">
        <v>3</v>
      </c>
      <c r="F44">
        <v>10600</v>
      </c>
    </row>
    <row r="45" spans="2:15" x14ac:dyDescent="0.25">
      <c r="B45" t="s">
        <v>4</v>
      </c>
      <c r="C45" t="s">
        <v>5</v>
      </c>
      <c r="D45">
        <v>37855.300000000003</v>
      </c>
      <c r="E45">
        <v>-11126.6</v>
      </c>
      <c r="F45">
        <v>44.951867</v>
      </c>
      <c r="G45">
        <v>243</v>
      </c>
      <c r="H45" t="s">
        <v>6</v>
      </c>
      <c r="I45">
        <v>85045.5</v>
      </c>
      <c r="J45">
        <v>-5262.9</v>
      </c>
      <c r="K45">
        <v>50.705111799999997</v>
      </c>
      <c r="L45">
        <v>267</v>
      </c>
      <c r="N45" s="1">
        <f>-D45/E45</f>
        <v>3.402234285406144</v>
      </c>
      <c r="O45" s="1">
        <f>D45/F45</f>
        <v>842.1296494759606</v>
      </c>
    </row>
    <row r="46" spans="2:15" x14ac:dyDescent="0.25">
      <c r="B46" t="s">
        <v>7</v>
      </c>
      <c r="C46" t="s">
        <v>5</v>
      </c>
      <c r="D46">
        <v>34808.080000000002</v>
      </c>
      <c r="E46">
        <v>-15617.56</v>
      </c>
      <c r="F46">
        <v>48.513335400000003</v>
      </c>
      <c r="G46">
        <v>206</v>
      </c>
      <c r="H46" t="s">
        <v>6</v>
      </c>
      <c r="I46">
        <v>84943.08</v>
      </c>
      <c r="J46">
        <v>-4792.08</v>
      </c>
      <c r="K46">
        <v>52.908851200000001</v>
      </c>
      <c r="L46">
        <v>226</v>
      </c>
      <c r="N46" s="1">
        <f t="shared" ref="N46:N50" si="12">-D46/E46</f>
        <v>2.228778375111093</v>
      </c>
      <c r="O46" s="1">
        <f t="shared" ref="O46:O50" si="13">D46/F46</f>
        <v>717.49509105077937</v>
      </c>
    </row>
    <row r="47" spans="2:15" x14ac:dyDescent="0.25">
      <c r="B47" t="s">
        <v>8</v>
      </c>
      <c r="C47" t="s">
        <v>5</v>
      </c>
      <c r="D47">
        <v>29866.720000000001</v>
      </c>
      <c r="E47">
        <v>-12963.74</v>
      </c>
      <c r="F47">
        <v>51.529109800000001</v>
      </c>
      <c r="G47">
        <v>184</v>
      </c>
      <c r="H47" t="s">
        <v>6</v>
      </c>
      <c r="I47">
        <v>80876.899999999994</v>
      </c>
      <c r="J47">
        <v>-5849.88</v>
      </c>
      <c r="K47">
        <v>54.767463999999997</v>
      </c>
      <c r="L47">
        <v>198</v>
      </c>
      <c r="N47" s="1">
        <f t="shared" si="12"/>
        <v>2.3038660139743623</v>
      </c>
      <c r="O47" s="1">
        <f t="shared" si="13"/>
        <v>579.60869333706205</v>
      </c>
    </row>
    <row r="48" spans="2:15" x14ac:dyDescent="0.25">
      <c r="B48" t="s">
        <v>9</v>
      </c>
      <c r="C48" t="s">
        <v>5</v>
      </c>
      <c r="D48">
        <v>28400</v>
      </c>
      <c r="E48">
        <v>-12860.32</v>
      </c>
      <c r="F48">
        <v>55.0610225</v>
      </c>
      <c r="G48">
        <v>165</v>
      </c>
      <c r="H48" t="s">
        <v>6</v>
      </c>
      <c r="I48">
        <v>75932.960000000006</v>
      </c>
      <c r="J48">
        <v>-6697.12</v>
      </c>
      <c r="K48">
        <v>56.777936699999998</v>
      </c>
      <c r="L48">
        <v>179</v>
      </c>
      <c r="N48" s="1">
        <f t="shared" si="12"/>
        <v>2.2083431827512845</v>
      </c>
      <c r="O48" s="1">
        <f t="shared" si="13"/>
        <v>515.79136584323328</v>
      </c>
    </row>
    <row r="49" spans="2:15" x14ac:dyDescent="0.25">
      <c r="B49" t="s">
        <v>10</v>
      </c>
      <c r="C49" t="s">
        <v>5</v>
      </c>
      <c r="D49">
        <v>26781.98</v>
      </c>
      <c r="E49">
        <v>-16131.24</v>
      </c>
      <c r="F49">
        <v>58.072163500000002</v>
      </c>
      <c r="G49">
        <v>148</v>
      </c>
      <c r="H49" t="s">
        <v>6</v>
      </c>
      <c r="I49">
        <v>83704</v>
      </c>
      <c r="J49">
        <v>-7919.76</v>
      </c>
      <c r="K49">
        <v>58.9114285</v>
      </c>
      <c r="L49">
        <v>155</v>
      </c>
      <c r="N49" s="1">
        <f t="shared" si="12"/>
        <v>1.6602555042265814</v>
      </c>
      <c r="O49" s="1">
        <f t="shared" si="13"/>
        <v>461.18447093847294</v>
      </c>
    </row>
    <row r="50" spans="2:15" x14ac:dyDescent="0.25">
      <c r="B50" t="s">
        <v>11</v>
      </c>
      <c r="C50" t="s">
        <v>5</v>
      </c>
      <c r="D50">
        <v>29516.2</v>
      </c>
      <c r="E50">
        <v>-13860.2</v>
      </c>
      <c r="F50">
        <v>61.478355399999998</v>
      </c>
      <c r="G50">
        <v>133</v>
      </c>
      <c r="H50" t="s">
        <v>6</v>
      </c>
      <c r="I50">
        <v>91680.2</v>
      </c>
      <c r="J50">
        <v>-6656</v>
      </c>
      <c r="K50">
        <v>62.121474900000003</v>
      </c>
      <c r="L50">
        <v>137</v>
      </c>
      <c r="N50" s="1">
        <f t="shared" si="12"/>
        <v>2.129565229938962</v>
      </c>
      <c r="O50" s="1">
        <f t="shared" si="13"/>
        <v>480.10718256786686</v>
      </c>
    </row>
    <row r="51" spans="2:15" x14ac:dyDescent="0.25">
      <c r="B51" t="s">
        <v>0</v>
      </c>
      <c r="C51" t="s">
        <v>1</v>
      </c>
      <c r="D51" t="s">
        <v>2</v>
      </c>
      <c r="E51" t="s">
        <v>3</v>
      </c>
      <c r="F51">
        <v>10700</v>
      </c>
    </row>
    <row r="52" spans="2:15" x14ac:dyDescent="0.25">
      <c r="B52" t="s">
        <v>4</v>
      </c>
      <c r="C52" t="s">
        <v>5</v>
      </c>
      <c r="D52">
        <v>37712.699999999997</v>
      </c>
      <c r="E52">
        <v>-11126.6</v>
      </c>
      <c r="F52">
        <v>44.893509700000003</v>
      </c>
      <c r="G52">
        <v>242</v>
      </c>
      <c r="H52" t="s">
        <v>6</v>
      </c>
      <c r="I52">
        <v>85045.5</v>
      </c>
      <c r="J52">
        <v>-5262.9</v>
      </c>
      <c r="K52">
        <v>50.705111799999997</v>
      </c>
      <c r="L52">
        <v>267</v>
      </c>
      <c r="N52" s="1">
        <f>-D52/E52</f>
        <v>3.3894181510973698</v>
      </c>
      <c r="O52" s="1">
        <f>D52/F52</f>
        <v>840.04793236292676</v>
      </c>
    </row>
    <row r="53" spans="2:15" x14ac:dyDescent="0.25">
      <c r="B53" t="s">
        <v>7</v>
      </c>
      <c r="C53" t="s">
        <v>5</v>
      </c>
      <c r="D53">
        <v>33668.080000000002</v>
      </c>
      <c r="E53">
        <v>-15617.56</v>
      </c>
      <c r="F53">
        <v>48.439659599999999</v>
      </c>
      <c r="G53">
        <v>206</v>
      </c>
      <c r="H53" t="s">
        <v>6</v>
      </c>
      <c r="I53">
        <v>84943.08</v>
      </c>
      <c r="J53">
        <v>-4792.08</v>
      </c>
      <c r="K53">
        <v>52.908851200000001</v>
      </c>
      <c r="L53">
        <v>226</v>
      </c>
      <c r="N53" s="1">
        <f t="shared" ref="N53:N57" si="14">-D53/E53</f>
        <v>2.1557836179275127</v>
      </c>
      <c r="O53" s="1">
        <f t="shared" ref="O53:O57" si="15">D53/F53</f>
        <v>695.0519528423772</v>
      </c>
    </row>
    <row r="54" spans="2:15" x14ac:dyDescent="0.25">
      <c r="B54" t="s">
        <v>8</v>
      </c>
      <c r="C54" t="s">
        <v>5</v>
      </c>
      <c r="D54">
        <v>28726.720000000001</v>
      </c>
      <c r="E54">
        <v>-13763.74</v>
      </c>
      <c r="F54">
        <v>51.459747200000002</v>
      </c>
      <c r="G54">
        <v>184</v>
      </c>
      <c r="H54" t="s">
        <v>6</v>
      </c>
      <c r="I54">
        <v>80876.899999999994</v>
      </c>
      <c r="J54">
        <v>-5849.88</v>
      </c>
      <c r="K54">
        <v>54.767463999999997</v>
      </c>
      <c r="L54">
        <v>198</v>
      </c>
      <c r="N54" s="1">
        <f t="shared" si="14"/>
        <v>2.0871303875254839</v>
      </c>
      <c r="O54" s="1">
        <f t="shared" si="15"/>
        <v>558.23671049825907</v>
      </c>
    </row>
    <row r="55" spans="2:15" x14ac:dyDescent="0.25">
      <c r="B55" t="s">
        <v>9</v>
      </c>
      <c r="C55" t="s">
        <v>5</v>
      </c>
      <c r="D55">
        <v>27260</v>
      </c>
      <c r="E55">
        <v>-13621.68</v>
      </c>
      <c r="F55">
        <v>54.996113299999998</v>
      </c>
      <c r="G55">
        <v>165</v>
      </c>
      <c r="H55" t="s">
        <v>6</v>
      </c>
      <c r="I55">
        <v>75932.960000000006</v>
      </c>
      <c r="J55">
        <v>-6697.12</v>
      </c>
      <c r="K55">
        <v>56.777936699999998</v>
      </c>
      <c r="L55">
        <v>179</v>
      </c>
      <c r="N55" s="1">
        <f t="shared" si="14"/>
        <v>2.0012215820662353</v>
      </c>
      <c r="O55" s="1">
        <f t="shared" si="15"/>
        <v>495.67139138176157</v>
      </c>
    </row>
    <row r="56" spans="2:15" x14ac:dyDescent="0.25">
      <c r="B56" t="s">
        <v>10</v>
      </c>
      <c r="C56" t="s">
        <v>5</v>
      </c>
      <c r="D56">
        <v>25641.98</v>
      </c>
      <c r="E56">
        <v>-16931.240000000002</v>
      </c>
      <c r="F56">
        <v>58.0106222</v>
      </c>
      <c r="G56">
        <v>148</v>
      </c>
      <c r="H56" t="s">
        <v>6</v>
      </c>
      <c r="I56">
        <v>83704</v>
      </c>
      <c r="J56">
        <v>-7919.76</v>
      </c>
      <c r="K56">
        <v>58.9114285</v>
      </c>
      <c r="L56">
        <v>155</v>
      </c>
      <c r="N56" s="1">
        <f t="shared" si="14"/>
        <v>1.5144773802745692</v>
      </c>
      <c r="O56" s="1">
        <f t="shared" si="15"/>
        <v>442.02215090187394</v>
      </c>
    </row>
    <row r="57" spans="2:15" x14ac:dyDescent="0.25">
      <c r="B57" t="s">
        <v>11</v>
      </c>
      <c r="C57" t="s">
        <v>5</v>
      </c>
      <c r="D57">
        <v>28376.2</v>
      </c>
      <c r="E57">
        <v>-14660.2</v>
      </c>
      <c r="F57">
        <v>61.420229300000003</v>
      </c>
      <c r="G57">
        <v>133</v>
      </c>
      <c r="H57" t="s">
        <v>6</v>
      </c>
      <c r="I57">
        <v>91680.2</v>
      </c>
      <c r="J57">
        <v>-6656</v>
      </c>
      <c r="K57">
        <v>62.121474900000003</v>
      </c>
      <c r="L57">
        <v>137</v>
      </c>
      <c r="N57" s="1">
        <f t="shared" si="14"/>
        <v>1.9355943302274183</v>
      </c>
      <c r="O57" s="1">
        <f t="shared" si="15"/>
        <v>462.00088022139636</v>
      </c>
    </row>
    <row r="58" spans="2:15" x14ac:dyDescent="0.25">
      <c r="B58" t="s">
        <v>0</v>
      </c>
      <c r="C58" t="s">
        <v>1</v>
      </c>
      <c r="D58" t="s">
        <v>2</v>
      </c>
      <c r="E58" t="s">
        <v>3</v>
      </c>
      <c r="F58">
        <v>10800</v>
      </c>
    </row>
    <row r="59" spans="2:15" x14ac:dyDescent="0.25">
      <c r="B59" t="s">
        <v>4</v>
      </c>
      <c r="C59" t="s">
        <v>5</v>
      </c>
      <c r="D59">
        <v>38058</v>
      </c>
      <c r="E59">
        <v>-11126.6</v>
      </c>
      <c r="F59">
        <v>44.879131700000002</v>
      </c>
      <c r="G59">
        <v>241</v>
      </c>
      <c r="H59" t="s">
        <v>6</v>
      </c>
      <c r="I59">
        <v>85045.5</v>
      </c>
      <c r="J59">
        <v>-5262.9</v>
      </c>
      <c r="K59">
        <v>50.705111799999997</v>
      </c>
      <c r="L59">
        <v>267</v>
      </c>
      <c r="N59" s="1">
        <f>-D59/E59</f>
        <v>3.420451890065249</v>
      </c>
      <c r="O59" s="1">
        <f>D59/F59</f>
        <v>848.01105900183893</v>
      </c>
    </row>
    <row r="60" spans="2:15" x14ac:dyDescent="0.25">
      <c r="B60" t="s">
        <v>7</v>
      </c>
      <c r="C60" t="s">
        <v>5</v>
      </c>
      <c r="D60">
        <v>34130.839999999997</v>
      </c>
      <c r="E60">
        <v>-15617.56</v>
      </c>
      <c r="F60">
        <v>48.422967900000003</v>
      </c>
      <c r="G60">
        <v>205</v>
      </c>
      <c r="H60" t="s">
        <v>6</v>
      </c>
      <c r="I60">
        <v>84943.08</v>
      </c>
      <c r="J60">
        <v>-4792.08</v>
      </c>
      <c r="K60">
        <v>52.908851200000001</v>
      </c>
      <c r="L60">
        <v>226</v>
      </c>
      <c r="N60" s="1">
        <f t="shared" ref="N60:N64" si="16">-D60/E60</f>
        <v>2.1854143669049453</v>
      </c>
      <c r="O60" s="1">
        <f t="shared" ref="O60:O64" si="17">D60/F60</f>
        <v>704.84816359221952</v>
      </c>
    </row>
    <row r="61" spans="2:15" x14ac:dyDescent="0.25">
      <c r="B61" t="s">
        <v>8</v>
      </c>
      <c r="C61" t="s">
        <v>5</v>
      </c>
      <c r="D61">
        <v>29306.94</v>
      </c>
      <c r="E61">
        <v>-13763.74</v>
      </c>
      <c r="F61">
        <v>51.443790700000001</v>
      </c>
      <c r="G61">
        <v>183</v>
      </c>
      <c r="H61" t="s">
        <v>6</v>
      </c>
      <c r="I61">
        <v>80876.899999999994</v>
      </c>
      <c r="J61">
        <v>-5849.88</v>
      </c>
      <c r="K61">
        <v>54.767463999999997</v>
      </c>
      <c r="L61">
        <v>198</v>
      </c>
      <c r="N61" s="1">
        <f t="shared" si="16"/>
        <v>2.1292860806728404</v>
      </c>
      <c r="O61" s="1">
        <f t="shared" si="17"/>
        <v>569.6885785673644</v>
      </c>
    </row>
    <row r="62" spans="2:15" x14ac:dyDescent="0.25">
      <c r="B62" t="s">
        <v>9</v>
      </c>
      <c r="C62" t="s">
        <v>5</v>
      </c>
      <c r="D62">
        <v>27957.68</v>
      </c>
      <c r="E62">
        <v>-13621.68</v>
      </c>
      <c r="F62">
        <v>54.969249699999999</v>
      </c>
      <c r="G62">
        <v>164</v>
      </c>
      <c r="H62" t="s">
        <v>6</v>
      </c>
      <c r="I62">
        <v>75932.960000000006</v>
      </c>
      <c r="J62">
        <v>-6697.12</v>
      </c>
      <c r="K62">
        <v>56.777936699999998</v>
      </c>
      <c r="L62">
        <v>179</v>
      </c>
      <c r="N62" s="1">
        <f t="shared" si="16"/>
        <v>2.0524399339875843</v>
      </c>
      <c r="O62" s="1">
        <f t="shared" si="17"/>
        <v>508.60581420670184</v>
      </c>
    </row>
    <row r="63" spans="2:15" x14ac:dyDescent="0.25">
      <c r="B63" t="s">
        <v>10</v>
      </c>
      <c r="C63" t="s">
        <v>5</v>
      </c>
      <c r="D63">
        <v>26457.119999999999</v>
      </c>
      <c r="E63">
        <v>-16931.240000000002</v>
      </c>
      <c r="F63">
        <v>57.981643400000003</v>
      </c>
      <c r="G63">
        <v>147</v>
      </c>
      <c r="H63" t="s">
        <v>6</v>
      </c>
      <c r="I63">
        <v>83704</v>
      </c>
      <c r="J63">
        <v>-7919.76</v>
      </c>
      <c r="K63">
        <v>58.9114285</v>
      </c>
      <c r="L63">
        <v>155</v>
      </c>
      <c r="N63" s="1">
        <f t="shared" si="16"/>
        <v>1.5626215209281775</v>
      </c>
      <c r="O63" s="1">
        <f t="shared" si="17"/>
        <v>456.30165770706662</v>
      </c>
    </row>
    <row r="64" spans="2:15" x14ac:dyDescent="0.25">
      <c r="B64" t="s">
        <v>11</v>
      </c>
      <c r="C64" t="s">
        <v>5</v>
      </c>
      <c r="D64">
        <v>29308.799999999999</v>
      </c>
      <c r="E64">
        <v>-14660.2</v>
      </c>
      <c r="F64">
        <v>61.393063400000003</v>
      </c>
      <c r="G64">
        <v>132</v>
      </c>
      <c r="H64" t="s">
        <v>6</v>
      </c>
      <c r="I64">
        <v>91680.2</v>
      </c>
      <c r="J64">
        <v>-6656</v>
      </c>
      <c r="K64">
        <v>62.121474900000003</v>
      </c>
      <c r="L64">
        <v>137</v>
      </c>
      <c r="N64" s="1">
        <f t="shared" si="16"/>
        <v>1.9992087420362612</v>
      </c>
      <c r="O64" s="1">
        <f t="shared" si="17"/>
        <v>477.39595284636016</v>
      </c>
    </row>
    <row r="65" spans="2:15" x14ac:dyDescent="0.25">
      <c r="B65" t="s">
        <v>0</v>
      </c>
      <c r="C65" t="s">
        <v>1</v>
      </c>
      <c r="D65" t="s">
        <v>2</v>
      </c>
      <c r="E65" t="s">
        <v>3</v>
      </c>
      <c r="F65">
        <v>10900</v>
      </c>
    </row>
    <row r="66" spans="2:15" x14ac:dyDescent="0.25">
      <c r="B66" t="s">
        <v>4</v>
      </c>
      <c r="C66" t="s">
        <v>5</v>
      </c>
      <c r="D66">
        <v>37628</v>
      </c>
      <c r="E66">
        <v>-11126.6</v>
      </c>
      <c r="F66">
        <v>44.825271000000001</v>
      </c>
      <c r="G66">
        <v>241</v>
      </c>
      <c r="H66" t="s">
        <v>6</v>
      </c>
      <c r="I66">
        <v>85045.5</v>
      </c>
      <c r="J66">
        <v>-5262.9</v>
      </c>
      <c r="K66">
        <v>50.705111799999997</v>
      </c>
      <c r="L66">
        <v>267</v>
      </c>
      <c r="N66" s="1">
        <f>-D66/E66</f>
        <v>3.3818057627667031</v>
      </c>
      <c r="O66" s="1">
        <f>D66/F66</f>
        <v>839.43720050236834</v>
      </c>
    </row>
    <row r="67" spans="2:15" x14ac:dyDescent="0.25">
      <c r="B67" t="s">
        <v>7</v>
      </c>
      <c r="C67" t="s">
        <v>5</v>
      </c>
      <c r="D67">
        <v>33700.839999999997</v>
      </c>
      <c r="E67">
        <v>-15617.56</v>
      </c>
      <c r="F67">
        <v>48.373051699999998</v>
      </c>
      <c r="G67">
        <v>205</v>
      </c>
      <c r="H67" t="s">
        <v>6</v>
      </c>
      <c r="I67">
        <v>84943.08</v>
      </c>
      <c r="J67">
        <v>-4792.08</v>
      </c>
      <c r="K67">
        <v>52.908851200000001</v>
      </c>
      <c r="L67">
        <v>226</v>
      </c>
      <c r="N67" s="1">
        <f t="shared" ref="N67:N71" si="18">-D67/E67</f>
        <v>2.1578812567392087</v>
      </c>
      <c r="O67" s="1">
        <f t="shared" ref="O67:O71" si="19">D67/F67</f>
        <v>696.68625020819184</v>
      </c>
    </row>
    <row r="68" spans="2:15" x14ac:dyDescent="0.25">
      <c r="B68" t="s">
        <v>8</v>
      </c>
      <c r="C68" t="s">
        <v>5</v>
      </c>
      <c r="D68">
        <v>28876.94</v>
      </c>
      <c r="E68">
        <v>-13763.74</v>
      </c>
      <c r="F68">
        <v>51.396806599999998</v>
      </c>
      <c r="G68">
        <v>183</v>
      </c>
      <c r="H68" t="s">
        <v>6</v>
      </c>
      <c r="I68">
        <v>80876.899999999994</v>
      </c>
      <c r="J68">
        <v>-5849.88</v>
      </c>
      <c r="K68">
        <v>54.767463999999997</v>
      </c>
      <c r="L68">
        <v>198</v>
      </c>
      <c r="N68" s="1">
        <f t="shared" si="18"/>
        <v>2.0980445721875012</v>
      </c>
      <c r="O68" s="1">
        <f t="shared" si="19"/>
        <v>561.84307762031267</v>
      </c>
    </row>
    <row r="69" spans="2:15" x14ac:dyDescent="0.25">
      <c r="B69" t="s">
        <v>9</v>
      </c>
      <c r="C69" t="s">
        <v>5</v>
      </c>
      <c r="D69">
        <v>27527.68</v>
      </c>
      <c r="E69">
        <v>-13621.68</v>
      </c>
      <c r="F69">
        <v>54.925280999999998</v>
      </c>
      <c r="G69">
        <v>164</v>
      </c>
      <c r="H69" t="s">
        <v>6</v>
      </c>
      <c r="I69">
        <v>75932.960000000006</v>
      </c>
      <c r="J69">
        <v>-6697.12</v>
      </c>
      <c r="K69">
        <v>56.777936699999998</v>
      </c>
      <c r="L69">
        <v>179</v>
      </c>
      <c r="N69" s="1">
        <f t="shared" si="18"/>
        <v>2.0208726089586602</v>
      </c>
      <c r="O69" s="1">
        <f t="shared" si="19"/>
        <v>501.18414505699116</v>
      </c>
    </row>
    <row r="70" spans="2:15" x14ac:dyDescent="0.25">
      <c r="B70" t="s">
        <v>10</v>
      </c>
      <c r="C70" t="s">
        <v>5</v>
      </c>
      <c r="D70">
        <v>26027.119999999999</v>
      </c>
      <c r="E70">
        <v>-16931.240000000002</v>
      </c>
      <c r="F70">
        <v>57.939960300000003</v>
      </c>
      <c r="G70">
        <v>147</v>
      </c>
      <c r="H70" t="s">
        <v>6</v>
      </c>
      <c r="I70">
        <v>83704</v>
      </c>
      <c r="J70">
        <v>-7919.76</v>
      </c>
      <c r="K70">
        <v>58.9114285</v>
      </c>
      <c r="L70">
        <v>155</v>
      </c>
      <c r="N70" s="1">
        <f t="shared" si="18"/>
        <v>1.5372246805313725</v>
      </c>
      <c r="O70" s="1">
        <f t="shared" si="19"/>
        <v>449.20845415215098</v>
      </c>
    </row>
    <row r="71" spans="2:15" x14ac:dyDescent="0.25">
      <c r="B71" t="s">
        <v>11</v>
      </c>
      <c r="C71" t="s">
        <v>5</v>
      </c>
      <c r="D71">
        <v>28878.799999999999</v>
      </c>
      <c r="E71">
        <v>-14660.2</v>
      </c>
      <c r="F71">
        <v>61.353698899999998</v>
      </c>
      <c r="G71">
        <v>132</v>
      </c>
      <c r="H71" t="s">
        <v>6</v>
      </c>
      <c r="I71">
        <v>91680.2</v>
      </c>
      <c r="J71">
        <v>-6656</v>
      </c>
      <c r="K71">
        <v>62.121474900000003</v>
      </c>
      <c r="L71">
        <v>137</v>
      </c>
      <c r="N71" s="1">
        <f t="shared" si="18"/>
        <v>1.969877627863194</v>
      </c>
      <c r="O71" s="1">
        <f t="shared" si="19"/>
        <v>470.69370743350572</v>
      </c>
    </row>
    <row r="72" spans="2:15" x14ac:dyDescent="0.25">
      <c r="B72" t="s">
        <v>0</v>
      </c>
      <c r="C72" t="s">
        <v>1</v>
      </c>
      <c r="D72" t="s">
        <v>2</v>
      </c>
      <c r="E72" t="s">
        <v>3</v>
      </c>
      <c r="F72">
        <v>11000</v>
      </c>
    </row>
    <row r="73" spans="2:15" x14ac:dyDescent="0.25">
      <c r="B73" t="s">
        <v>4</v>
      </c>
      <c r="C73" t="s">
        <v>5</v>
      </c>
      <c r="D73">
        <v>36284.5</v>
      </c>
      <c r="E73">
        <v>-11126.6</v>
      </c>
      <c r="F73">
        <v>44.580695499999997</v>
      </c>
      <c r="G73">
        <v>240</v>
      </c>
      <c r="H73" t="s">
        <v>6</v>
      </c>
      <c r="I73">
        <v>85035.5</v>
      </c>
      <c r="J73">
        <v>-5262.9</v>
      </c>
      <c r="K73">
        <v>50.705151399999998</v>
      </c>
      <c r="L73">
        <v>267</v>
      </c>
      <c r="N73" s="1">
        <f>-D73/E73</f>
        <v>3.2610590836374094</v>
      </c>
      <c r="O73" s="1">
        <f>D73/F73</f>
        <v>813.90609978258419</v>
      </c>
    </row>
    <row r="74" spans="2:15" x14ac:dyDescent="0.25">
      <c r="B74" t="s">
        <v>7</v>
      </c>
      <c r="C74" t="s">
        <v>5</v>
      </c>
      <c r="D74">
        <v>32549.040000000001</v>
      </c>
      <c r="E74">
        <v>-15617.56</v>
      </c>
      <c r="F74">
        <v>48.134438299999999</v>
      </c>
      <c r="G74">
        <v>204</v>
      </c>
      <c r="H74" t="s">
        <v>6</v>
      </c>
      <c r="I74">
        <v>84933.08</v>
      </c>
      <c r="J74">
        <v>-4792.08</v>
      </c>
      <c r="K74">
        <v>52.908889199999997</v>
      </c>
      <c r="L74">
        <v>226</v>
      </c>
      <c r="N74" s="1">
        <f t="shared" ref="N74:N78" si="20">-D74/E74</f>
        <v>2.0841309397882899</v>
      </c>
      <c r="O74" s="1">
        <f t="shared" ref="O74:O78" si="21">D74/F74</f>
        <v>676.21106944547023</v>
      </c>
    </row>
    <row r="75" spans="2:15" x14ac:dyDescent="0.25">
      <c r="B75" t="s">
        <v>8</v>
      </c>
      <c r="C75" t="s">
        <v>5</v>
      </c>
      <c r="D75">
        <v>27916.84</v>
      </c>
      <c r="E75">
        <v>-13763.74</v>
      </c>
      <c r="F75">
        <v>51.166901899999999</v>
      </c>
      <c r="G75">
        <v>182</v>
      </c>
      <c r="H75" t="s">
        <v>6</v>
      </c>
      <c r="I75">
        <v>80866.899999999994</v>
      </c>
      <c r="J75">
        <v>-5849.88</v>
      </c>
      <c r="K75">
        <v>54.767500699999999</v>
      </c>
      <c r="L75">
        <v>198</v>
      </c>
      <c r="N75" s="1">
        <f t="shared" si="20"/>
        <v>2.0282888226601199</v>
      </c>
      <c r="O75" s="1">
        <f t="shared" si="21"/>
        <v>545.60348513107851</v>
      </c>
    </row>
    <row r="76" spans="2:15" x14ac:dyDescent="0.25">
      <c r="B76" t="s">
        <v>9</v>
      </c>
      <c r="C76" t="s">
        <v>5</v>
      </c>
      <c r="D76">
        <v>26759.279999999999</v>
      </c>
      <c r="E76">
        <v>-13621.68</v>
      </c>
      <c r="F76">
        <v>54.704838000000002</v>
      </c>
      <c r="G76">
        <v>163</v>
      </c>
      <c r="H76" t="s">
        <v>6</v>
      </c>
      <c r="I76">
        <v>75922.960000000006</v>
      </c>
      <c r="J76">
        <v>-6697.12</v>
      </c>
      <c r="K76">
        <v>56.777971999999998</v>
      </c>
      <c r="L76">
        <v>179</v>
      </c>
      <c r="N76" s="1">
        <f t="shared" si="20"/>
        <v>1.9644625332558097</v>
      </c>
      <c r="O76" s="1">
        <f t="shared" si="21"/>
        <v>489.15746720609974</v>
      </c>
    </row>
    <row r="77" spans="2:15" x14ac:dyDescent="0.25">
      <c r="B77" t="s">
        <v>10</v>
      </c>
      <c r="C77" t="s">
        <v>5</v>
      </c>
      <c r="D77">
        <v>23677.119999999999</v>
      </c>
      <c r="E77">
        <v>-16931.240000000002</v>
      </c>
      <c r="F77">
        <v>57.670501999999999</v>
      </c>
      <c r="G77">
        <v>147</v>
      </c>
      <c r="H77" t="s">
        <v>6</v>
      </c>
      <c r="I77">
        <v>83694</v>
      </c>
      <c r="J77">
        <v>-7919.76</v>
      </c>
      <c r="K77">
        <v>58.9114626</v>
      </c>
      <c r="L77">
        <v>155</v>
      </c>
      <c r="N77" s="1">
        <f t="shared" si="20"/>
        <v>1.3984279946418572</v>
      </c>
      <c r="O77" s="1">
        <f t="shared" si="21"/>
        <v>410.55859024774918</v>
      </c>
    </row>
    <row r="78" spans="2:15" x14ac:dyDescent="0.25">
      <c r="B78" t="s">
        <v>11</v>
      </c>
      <c r="C78" t="s">
        <v>5</v>
      </c>
      <c r="D78">
        <v>26528.799999999999</v>
      </c>
      <c r="E78">
        <v>-14660.2</v>
      </c>
      <c r="F78">
        <v>61.099302399999999</v>
      </c>
      <c r="G78">
        <v>132</v>
      </c>
      <c r="H78" t="s">
        <v>6</v>
      </c>
      <c r="I78">
        <v>91670.2</v>
      </c>
      <c r="J78">
        <v>-6656</v>
      </c>
      <c r="K78">
        <v>62.121507299999998</v>
      </c>
      <c r="L78">
        <v>137</v>
      </c>
      <c r="N78" s="1">
        <f t="shared" si="20"/>
        <v>1.8095796783127105</v>
      </c>
      <c r="O78" s="1">
        <f t="shared" si="21"/>
        <v>434.19153669420621</v>
      </c>
    </row>
    <row r="79" spans="2:15" x14ac:dyDescent="0.25">
      <c r="B79" t="s">
        <v>12</v>
      </c>
    </row>
    <row r="80" spans="2:15" x14ac:dyDescent="0.25">
      <c r="N80" s="2">
        <f>MAX(N3:N78)</f>
        <v>4.0090144338791722</v>
      </c>
      <c r="O80" s="2">
        <f>MAX(O3:O78)</f>
        <v>963.71605290775562</v>
      </c>
    </row>
  </sheetData>
  <conditionalFormatting sqref="N3:N78">
    <cfRule type="cellIs" dxfId="2" priority="2" operator="equal">
      <formula>$N$80</formula>
    </cfRule>
  </conditionalFormatting>
  <conditionalFormatting sqref="O3:O78">
    <cfRule type="cellIs" dxfId="0" priority="1" operator="equal">
      <formula>$O$80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DASSAULT SYSTEMES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CHEKHLOV Alexei</dc:creator>
  <cp:lastModifiedBy>CHEKHLOV Alexei</cp:lastModifiedBy>
  <dcterms:created xsi:type="dcterms:W3CDTF">2022-03-30T03:15:08Z</dcterms:created>
  <dcterms:modified xsi:type="dcterms:W3CDTF">2022-03-30T03:18:04Z</dcterms:modified>
</cp:coreProperties>
</file>